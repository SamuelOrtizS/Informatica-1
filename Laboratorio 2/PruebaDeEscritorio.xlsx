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valle\2026-1\Informatica-1\Laboratorio 2\"/>
    </mc:Choice>
  </mc:AlternateContent>
  <xr:revisionPtr revIDLastSave="0" documentId="13_ncr:1_{6568BFA6-C4FF-44BD-9EA3-CB47C0869EDB}" xr6:coauthVersionLast="47" xr6:coauthVersionMax="47" xr10:uidLastSave="{00000000-0000-0000-0000-000000000000}"/>
  <bookViews>
    <workbookView xWindow="-120" yWindow="-120" windowWidth="29040" windowHeight="16440" xr2:uid="{2B75A477-A9CF-47B7-B745-DD82E91866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1" l="1"/>
  <c r="A55" i="1"/>
  <c r="A50" i="1"/>
  <c r="A45" i="1"/>
  <c r="A40" i="1"/>
  <c r="A39" i="1"/>
  <c r="A38" i="1"/>
  <c r="A37" i="1"/>
  <c r="A8" i="1"/>
</calcChain>
</file>

<file path=xl/sharedStrings.xml><?xml version="1.0" encoding="utf-8"?>
<sst xmlns="http://schemas.openxmlformats.org/spreadsheetml/2006/main" count="77" uniqueCount="44">
  <si>
    <t>NivelesColesterol</t>
  </si>
  <si>
    <t xml:space="preserve">Mensaje por pantalla </t>
  </si>
  <si>
    <t>nombre</t>
  </si>
  <si>
    <t>genero</t>
  </si>
  <si>
    <t>colTotal</t>
  </si>
  <si>
    <t>colHDL</t>
  </si>
  <si>
    <t>tri</t>
  </si>
  <si>
    <t>Ingrese su nombre:</t>
  </si>
  <si>
    <t xml:space="preserve">Indique si es hombre o mujer: </t>
  </si>
  <si>
    <t xml:space="preserve">Ingrese el valor numérico del colesterol total: </t>
  </si>
  <si>
    <t xml:space="preserve">Ingrese el valor numérico del colesterol HDL: </t>
  </si>
  <si>
    <t xml:space="preserve">Ingrese el valor numérico de los triglicéridos: </t>
  </si>
  <si>
    <t>Anita López</t>
  </si>
  <si>
    <t>mujer</t>
  </si>
  <si>
    <t>42.50</t>
  </si>
  <si>
    <t>Colesterol total: Intermedio Alto</t>
  </si>
  <si>
    <t>HDL: Normal</t>
  </si>
  <si>
    <t>Triglicéridos: Normal</t>
  </si>
  <si>
    <t>ProduccionLeche</t>
  </si>
  <si>
    <t>anchoPrisma</t>
  </si>
  <si>
    <t>largoPrisma</t>
  </si>
  <si>
    <t>alturaPrisma</t>
  </si>
  <si>
    <t>radioCilindro</t>
  </si>
  <si>
    <t>alturaCilindro</t>
  </si>
  <si>
    <t>alturaLlenadoPrisma</t>
  </si>
  <si>
    <t>alturaLlenadoCilindro</t>
  </si>
  <si>
    <t xml:space="preserve">Ingrese en cm, el ancho de la base del recipiente en forma de prisma (l): </t>
  </si>
  <si>
    <t xml:space="preserve">Ingrese en cm, el largo de la base del recipiente en forma de prisma (b): </t>
  </si>
  <si>
    <t xml:space="preserve">Ingrese la altura en cm, del prisma (h): </t>
  </si>
  <si>
    <t xml:space="preserve">Ingrese en cm el radio del recipiente en forma de cilindro: </t>
  </si>
  <si>
    <t xml:space="preserve">Ingrese en cm la altura del recipiente en forma de cilindro: </t>
  </si>
  <si>
    <t xml:space="preserve">Ingrese hasta que altura se lleno el recipiente en forma de prisma: </t>
  </si>
  <si>
    <t xml:space="preserve">Ingrese hasta que altura se lleno el recipiente en forma de cilindro: </t>
  </si>
  <si>
    <t>Llamado a funciones</t>
  </si>
  <si>
    <t>colesterolTotal()</t>
  </si>
  <si>
    <t>colesterolHDL()</t>
  </si>
  <si>
    <t>trigliceridos()</t>
  </si>
  <si>
    <t>Salida</t>
  </si>
  <si>
    <t>Intermedio Alto</t>
  </si>
  <si>
    <t>Normal</t>
  </si>
  <si>
    <t>volumenPrisma()</t>
  </si>
  <si>
    <t>volumenCilindro()</t>
  </si>
  <si>
    <t>cantidadLechePrisma()</t>
  </si>
  <si>
    <t>cantidadLecheCilindro()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</si>
</sst>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.00000000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Border="1"/>
    <xf numFmtId="0" fontId="0" fillId="0" borderId="5" xfId="0" applyFill="1" applyBorder="1"/>
    <xf numFmtId="0" fontId="0" fillId="0" borderId="3" xfId="0" applyFill="1" applyBorder="1"/>
    <xf numFmtId="0" fontId="0" fillId="0" borderId="14" xfId="0" applyBorder="1"/>
    <xf numFmtId="0" fontId="0" fillId="0" borderId="15" xfId="0" applyBorder="1"/>
    <xf numFmtId="0" fontId="0" fillId="0" borderId="10" xfId="0" applyFill="1" applyBorder="1"/>
    <xf numFmtId="0" fontId="1" fillId="0" borderId="11" xfId="0" applyFont="1" applyBorder="1"/>
    <xf numFmtId="172" fontId="0" fillId="0" borderId="1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0FB75-1E15-460F-A013-7A93DF31DE48}">
  <dimension ref="A1:I60"/>
  <sheetViews>
    <sheetView tabSelected="1" workbookViewId="0">
      <selection activeCell="F61" sqref="F61"/>
    </sheetView>
  </sheetViews>
  <sheetFormatPr baseColWidth="10" defaultRowHeight="15" x14ac:dyDescent="0.25"/>
  <cols>
    <col min="1" max="1" width="90.7109375" bestFit="1" customWidth="1"/>
    <col min="2" max="2" width="12.85546875" bestFit="1" customWidth="1"/>
    <col min="3" max="3" width="19.7109375" bestFit="1" customWidth="1"/>
    <col min="4" max="4" width="19.5703125" bestFit="1" customWidth="1"/>
    <col min="5" max="5" width="12.7109375" bestFit="1" customWidth="1"/>
    <col min="6" max="6" width="13.28515625" bestFit="1" customWidth="1"/>
    <col min="7" max="7" width="19.7109375" bestFit="1" customWidth="1"/>
    <col min="8" max="8" width="20.42578125" bestFit="1" customWidth="1"/>
    <col min="9" max="9" width="22.5703125" bestFit="1" customWidth="1"/>
  </cols>
  <sheetData>
    <row r="1" spans="1:7" ht="15.75" thickBot="1" x14ac:dyDescent="0.3">
      <c r="A1" s="13" t="s">
        <v>0</v>
      </c>
    </row>
    <row r="2" spans="1:7" ht="15.75" thickBot="1" x14ac:dyDescent="0.3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15" t="s">
        <v>33</v>
      </c>
    </row>
    <row r="3" spans="1:7" x14ac:dyDescent="0.25">
      <c r="A3" s="6" t="s">
        <v>7</v>
      </c>
      <c r="B3" s="2" t="s">
        <v>12</v>
      </c>
      <c r="C3" s="2"/>
      <c r="D3" s="2"/>
      <c r="E3" s="2"/>
      <c r="F3" s="2"/>
      <c r="G3" s="7"/>
    </row>
    <row r="4" spans="1:7" x14ac:dyDescent="0.25">
      <c r="A4" s="8" t="s">
        <v>8</v>
      </c>
      <c r="B4" s="1"/>
      <c r="C4" s="1" t="s">
        <v>13</v>
      </c>
      <c r="D4" s="1"/>
      <c r="E4" s="1"/>
      <c r="F4" s="1"/>
      <c r="G4" s="9"/>
    </row>
    <row r="5" spans="1:7" x14ac:dyDescent="0.25">
      <c r="A5" s="8" t="s">
        <v>9</v>
      </c>
      <c r="B5" s="1"/>
      <c r="C5" s="1"/>
      <c r="D5" s="1">
        <v>228</v>
      </c>
      <c r="E5" s="1"/>
      <c r="F5" s="1"/>
      <c r="G5" s="9"/>
    </row>
    <row r="6" spans="1:7" x14ac:dyDescent="0.25">
      <c r="A6" s="8" t="s">
        <v>10</v>
      </c>
      <c r="B6" s="1"/>
      <c r="C6" s="1"/>
      <c r="D6" s="1"/>
      <c r="E6" s="1" t="s">
        <v>14</v>
      </c>
      <c r="F6" s="1"/>
      <c r="G6" s="9"/>
    </row>
    <row r="7" spans="1:7" x14ac:dyDescent="0.25">
      <c r="A7" s="8" t="s">
        <v>11</v>
      </c>
      <c r="B7" s="1"/>
      <c r="C7" s="1"/>
      <c r="D7" s="1"/>
      <c r="E7" s="1"/>
      <c r="F7" s="1">
        <v>133</v>
      </c>
      <c r="G7" s="9"/>
    </row>
    <row r="8" spans="1:7" x14ac:dyDescent="0.25">
      <c r="A8" s="8" t="str">
        <f>_xlfn.CONCAT(B3," sus niveles de colesterol son: ")</f>
        <v xml:space="preserve">Anita López sus niveles de colesterol son: </v>
      </c>
      <c r="B8" s="1"/>
      <c r="C8" s="1"/>
      <c r="D8" s="1"/>
      <c r="E8" s="1"/>
      <c r="F8" s="1"/>
      <c r="G8" s="9"/>
    </row>
    <row r="9" spans="1:7" x14ac:dyDescent="0.25">
      <c r="A9" s="8" t="s">
        <v>15</v>
      </c>
      <c r="B9" s="1"/>
      <c r="C9" s="1"/>
      <c r="D9" s="1"/>
      <c r="E9" s="1"/>
      <c r="F9" s="1"/>
      <c r="G9" s="9" t="s">
        <v>34</v>
      </c>
    </row>
    <row r="10" spans="1:7" x14ac:dyDescent="0.25">
      <c r="A10" s="8" t="s">
        <v>16</v>
      </c>
      <c r="B10" s="1"/>
      <c r="C10" s="1"/>
      <c r="D10" s="1"/>
      <c r="E10" s="1"/>
      <c r="F10" s="1"/>
      <c r="G10" s="9" t="s">
        <v>35</v>
      </c>
    </row>
    <row r="11" spans="1:7" ht="15.75" thickBot="1" x14ac:dyDescent="0.3">
      <c r="A11" s="10" t="s">
        <v>17</v>
      </c>
      <c r="B11" s="11"/>
      <c r="C11" s="11"/>
      <c r="D11" s="11"/>
      <c r="E11" s="11"/>
      <c r="F11" s="11"/>
      <c r="G11" s="12" t="s">
        <v>36</v>
      </c>
    </row>
    <row r="12" spans="1:7" ht="15.75" thickBot="1" x14ac:dyDescent="0.3">
      <c r="A12" s="14"/>
      <c r="B12" s="14"/>
      <c r="C12" s="14"/>
      <c r="D12" s="14"/>
      <c r="E12" s="14"/>
      <c r="F12" s="14"/>
      <c r="G12" s="14"/>
    </row>
    <row r="13" spans="1:7" ht="15.75" thickBot="1" x14ac:dyDescent="0.3">
      <c r="A13" s="13" t="s">
        <v>34</v>
      </c>
      <c r="B13" s="14"/>
      <c r="C13" s="14"/>
      <c r="D13" s="14"/>
      <c r="E13" s="14"/>
      <c r="F13" s="14"/>
      <c r="G13" s="14"/>
    </row>
    <row r="14" spans="1:7" ht="15.75" thickBot="1" x14ac:dyDescent="0.3">
      <c r="A14" s="16" t="s">
        <v>37</v>
      </c>
      <c r="B14" s="17" t="s">
        <v>4</v>
      </c>
      <c r="C14" s="14"/>
      <c r="D14" s="14"/>
      <c r="E14" s="14"/>
      <c r="F14" s="14"/>
      <c r="G14" s="14"/>
    </row>
    <row r="15" spans="1:7" x14ac:dyDescent="0.25">
      <c r="A15" s="6"/>
      <c r="B15" s="18">
        <v>228</v>
      </c>
      <c r="C15" s="14"/>
      <c r="D15" s="14"/>
      <c r="E15" s="14"/>
      <c r="F15" s="14"/>
      <c r="G15" s="14"/>
    </row>
    <row r="16" spans="1:7" ht="15.75" thickBot="1" x14ac:dyDescent="0.3">
      <c r="A16" s="19" t="s">
        <v>38</v>
      </c>
      <c r="B16" s="12"/>
      <c r="C16" s="14"/>
      <c r="D16" s="14"/>
      <c r="E16" s="14"/>
      <c r="F16" s="14"/>
      <c r="G16" s="14"/>
    </row>
    <row r="17" spans="1:9" ht="15.75" thickBot="1" x14ac:dyDescent="0.3">
      <c r="A17" s="14"/>
      <c r="B17" s="14"/>
      <c r="C17" s="14"/>
      <c r="D17" s="14"/>
      <c r="E17" s="14"/>
      <c r="F17" s="14"/>
      <c r="G17" s="14"/>
    </row>
    <row r="18" spans="1:9" ht="15.75" thickBot="1" x14ac:dyDescent="0.3">
      <c r="A18" s="13" t="s">
        <v>35</v>
      </c>
      <c r="B18" s="14"/>
      <c r="C18" s="14"/>
      <c r="D18" s="14"/>
      <c r="E18" s="14"/>
      <c r="F18" s="14"/>
      <c r="G18" s="14"/>
    </row>
    <row r="19" spans="1:9" ht="15.75" thickBot="1" x14ac:dyDescent="0.3">
      <c r="A19" s="16" t="s">
        <v>37</v>
      </c>
      <c r="B19" s="5" t="s">
        <v>5</v>
      </c>
      <c r="C19" s="14"/>
      <c r="D19" s="14"/>
      <c r="E19" s="14"/>
      <c r="F19" s="14"/>
      <c r="G19" s="14"/>
    </row>
    <row r="20" spans="1:9" x14ac:dyDescent="0.25">
      <c r="A20" s="6"/>
      <c r="B20" s="7" t="s">
        <v>14</v>
      </c>
      <c r="C20" s="14"/>
      <c r="D20" s="14"/>
      <c r="E20" s="14"/>
      <c r="F20" s="14"/>
      <c r="G20" s="14"/>
    </row>
    <row r="21" spans="1:9" ht="15.75" thickBot="1" x14ac:dyDescent="0.3">
      <c r="A21" s="19" t="s">
        <v>39</v>
      </c>
      <c r="B21" s="12"/>
      <c r="C21" s="14"/>
      <c r="D21" s="14"/>
      <c r="E21" s="14"/>
      <c r="F21" s="14"/>
      <c r="G21" s="14"/>
    </row>
    <row r="22" spans="1:9" ht="15.75" thickBot="1" x14ac:dyDescent="0.3">
      <c r="A22" s="14"/>
      <c r="B22" s="14"/>
      <c r="C22" s="14"/>
      <c r="D22" s="14"/>
      <c r="E22" s="14"/>
      <c r="F22" s="14"/>
      <c r="G22" s="14"/>
    </row>
    <row r="23" spans="1:9" ht="15.75" thickBot="1" x14ac:dyDescent="0.3">
      <c r="A23" s="13" t="s">
        <v>36</v>
      </c>
      <c r="B23" s="14"/>
      <c r="C23" s="14"/>
      <c r="D23" s="14"/>
      <c r="E23" s="14"/>
      <c r="F23" s="14"/>
      <c r="G23" s="14"/>
    </row>
    <row r="24" spans="1:9" ht="15.75" thickBot="1" x14ac:dyDescent="0.3">
      <c r="A24" s="16" t="s">
        <v>37</v>
      </c>
      <c r="B24" s="17" t="s">
        <v>6</v>
      </c>
      <c r="C24" s="14"/>
      <c r="D24" s="14"/>
      <c r="E24" s="14"/>
      <c r="F24" s="14"/>
      <c r="G24" s="14"/>
    </row>
    <row r="25" spans="1:9" x14ac:dyDescent="0.25">
      <c r="A25" s="6"/>
      <c r="B25" s="7">
        <v>133</v>
      </c>
      <c r="C25" s="14"/>
      <c r="D25" s="14"/>
      <c r="E25" s="14"/>
      <c r="F25" s="14"/>
      <c r="G25" s="14"/>
    </row>
    <row r="26" spans="1:9" ht="15.75" thickBot="1" x14ac:dyDescent="0.3">
      <c r="A26" s="19" t="s">
        <v>39</v>
      </c>
      <c r="B26" s="12"/>
      <c r="C26" s="14"/>
      <c r="D26" s="14"/>
      <c r="E26" s="14"/>
      <c r="F26" s="14"/>
      <c r="G26" s="14"/>
    </row>
    <row r="27" spans="1:9" ht="15.75" thickBot="1" x14ac:dyDescent="0.3"/>
    <row r="28" spans="1:9" ht="15.75" thickBot="1" x14ac:dyDescent="0.3">
      <c r="A28" s="13" t="s">
        <v>18</v>
      </c>
    </row>
    <row r="29" spans="1:9" ht="15.75" thickBot="1" x14ac:dyDescent="0.3">
      <c r="A29" s="3" t="s">
        <v>1</v>
      </c>
      <c r="B29" s="4" t="s">
        <v>19</v>
      </c>
      <c r="C29" s="4" t="s">
        <v>20</v>
      </c>
      <c r="D29" s="4" t="s">
        <v>21</v>
      </c>
      <c r="E29" s="4" t="s">
        <v>22</v>
      </c>
      <c r="F29" s="4" t="s">
        <v>23</v>
      </c>
      <c r="G29" s="4" t="s">
        <v>24</v>
      </c>
      <c r="H29" s="4" t="s">
        <v>25</v>
      </c>
      <c r="I29" s="15" t="s">
        <v>33</v>
      </c>
    </row>
    <row r="30" spans="1:9" x14ac:dyDescent="0.25">
      <c r="A30" s="6" t="s">
        <v>26</v>
      </c>
      <c r="B30" s="2">
        <v>10</v>
      </c>
      <c r="C30" s="2"/>
      <c r="D30" s="2"/>
      <c r="E30" s="2"/>
      <c r="F30" s="2"/>
      <c r="G30" s="2"/>
      <c r="H30" s="2"/>
      <c r="I30" s="7"/>
    </row>
    <row r="31" spans="1:9" x14ac:dyDescent="0.25">
      <c r="A31" s="8" t="s">
        <v>27</v>
      </c>
      <c r="B31" s="1"/>
      <c r="C31" s="1">
        <v>23</v>
      </c>
      <c r="D31" s="1"/>
      <c r="E31" s="1"/>
      <c r="F31" s="1"/>
      <c r="G31" s="1"/>
      <c r="H31" s="1"/>
      <c r="I31" s="9"/>
    </row>
    <row r="32" spans="1:9" x14ac:dyDescent="0.25">
      <c r="A32" s="8" t="s">
        <v>28</v>
      </c>
      <c r="B32" s="1"/>
      <c r="C32" s="1"/>
      <c r="D32" s="1">
        <v>50</v>
      </c>
      <c r="E32" s="1"/>
      <c r="F32" s="1"/>
      <c r="G32" s="1"/>
      <c r="H32" s="1"/>
      <c r="I32" s="9"/>
    </row>
    <row r="33" spans="1:9" x14ac:dyDescent="0.25">
      <c r="A33" s="8" t="s">
        <v>29</v>
      </c>
      <c r="B33" s="1"/>
      <c r="C33" s="1"/>
      <c r="D33" s="1"/>
      <c r="E33" s="1">
        <v>12</v>
      </c>
      <c r="F33" s="1"/>
      <c r="G33" s="1"/>
      <c r="H33" s="1"/>
      <c r="I33" s="9"/>
    </row>
    <row r="34" spans="1:9" x14ac:dyDescent="0.25">
      <c r="A34" s="8" t="s">
        <v>30</v>
      </c>
      <c r="B34" s="1"/>
      <c r="C34" s="1"/>
      <c r="D34" s="1"/>
      <c r="E34" s="1"/>
      <c r="F34" s="1">
        <v>40</v>
      </c>
      <c r="G34" s="1"/>
      <c r="H34" s="1"/>
      <c r="I34" s="9"/>
    </row>
    <row r="35" spans="1:9" x14ac:dyDescent="0.25">
      <c r="A35" s="8" t="s">
        <v>31</v>
      </c>
      <c r="B35" s="1"/>
      <c r="C35" s="1"/>
      <c r="D35" s="1"/>
      <c r="E35" s="1"/>
      <c r="F35" s="1"/>
      <c r="G35" s="1">
        <v>30</v>
      </c>
      <c r="H35" s="1"/>
      <c r="I35" s="9"/>
    </row>
    <row r="36" spans="1:9" x14ac:dyDescent="0.25">
      <c r="A36" s="8" t="s">
        <v>32</v>
      </c>
      <c r="B36" s="1"/>
      <c r="C36" s="1"/>
      <c r="D36" s="1"/>
      <c r="E36" s="1"/>
      <c r="F36" s="1"/>
      <c r="G36" s="1"/>
      <c r="H36" s="1">
        <v>25</v>
      </c>
      <c r="I36" s="9"/>
    </row>
    <row r="37" spans="1:9" x14ac:dyDescent="0.25">
      <c r="A37" s="8" t="str">
        <f>_xlfn.CONCAT("El volumen del recipiente en forma de prisma es: ",B30*C31*D32," cm cúbicos")</f>
        <v>El volumen del recipiente en forma de prisma es: 11500 cm cúbicos</v>
      </c>
      <c r="B37" s="1"/>
      <c r="C37" s="1"/>
      <c r="D37" s="1"/>
      <c r="E37" s="1"/>
      <c r="F37" s="1"/>
      <c r="G37" s="1"/>
      <c r="H37" s="1"/>
      <c r="I37" s="9" t="s">
        <v>40</v>
      </c>
    </row>
    <row r="38" spans="1:9" x14ac:dyDescent="0.25">
      <c r="A38" s="8" t="str">
        <f>_xlfn.CONCAT("El volumen del recipiente en forma de cilindro es: ",PI()*POWER(E33,2)*F34," cm cúbicos")</f>
        <v>El volumen del recipiente en forma de cilindro es: 18095,5736846772 cm cúbicos</v>
      </c>
      <c r="B38" s="1"/>
      <c r="C38" s="1"/>
      <c r="D38" s="1"/>
      <c r="E38" s="1"/>
      <c r="F38" s="1"/>
      <c r="G38" s="1"/>
      <c r="H38" s="1"/>
      <c r="I38" s="9" t="s">
        <v>41</v>
      </c>
    </row>
    <row r="39" spans="1:9" x14ac:dyDescent="0.25">
      <c r="A39" s="8" t="str">
        <f>_xlfn.CONCAT("La cantidad de leche recogida en el recipiente en forma de prisma es: ",(B30*C31*D32)*(G35/D32)," cm cúbicos")</f>
        <v>La cantidad de leche recogida en el recipiente en forma de prisma es: 6900 cm cúbicos</v>
      </c>
      <c r="B39" s="1"/>
      <c r="C39" s="1"/>
      <c r="D39" s="1"/>
      <c r="E39" s="1"/>
      <c r="F39" s="1"/>
      <c r="G39" s="1"/>
      <c r="H39" s="1"/>
      <c r="I39" s="9" t="s">
        <v>42</v>
      </c>
    </row>
    <row r="40" spans="1:9" ht="15.75" thickBot="1" x14ac:dyDescent="0.3">
      <c r="A40" s="10" t="str">
        <f>_xlfn.CONCAT("La cantidad de leche recogida en el recipiente en forma de cilindro es: ",(PI()*POWER(E33,2)*F34)*(H36/F34)," cm cúbicos")</f>
        <v>La cantidad de leche recogida en el recipiente en forma de cilindro es: 11309,7335529233 cm cúbicos</v>
      </c>
      <c r="B40" s="11"/>
      <c r="C40" s="11"/>
      <c r="D40" s="11"/>
      <c r="E40" s="11"/>
      <c r="F40" s="11"/>
      <c r="G40" s="11"/>
      <c r="H40" s="11"/>
      <c r="I40" s="12" t="s">
        <v>43</v>
      </c>
    </row>
    <row r="41" spans="1:9" ht="15.75" thickBot="1" x14ac:dyDescent="0.3"/>
    <row r="42" spans="1:9" ht="15.75" thickBot="1" x14ac:dyDescent="0.3">
      <c r="A42" s="13" t="s">
        <v>40</v>
      </c>
    </row>
    <row r="43" spans="1:9" ht="15.75" thickBot="1" x14ac:dyDescent="0.3">
      <c r="A43" s="16" t="s">
        <v>37</v>
      </c>
      <c r="B43" s="4" t="s">
        <v>19</v>
      </c>
      <c r="C43" s="4" t="s">
        <v>20</v>
      </c>
      <c r="D43" s="5" t="s">
        <v>21</v>
      </c>
    </row>
    <row r="44" spans="1:9" x14ac:dyDescent="0.25">
      <c r="A44" s="6"/>
      <c r="B44" s="2">
        <v>10</v>
      </c>
      <c r="C44" s="2">
        <v>23</v>
      </c>
      <c r="D44" s="7">
        <v>50</v>
      </c>
    </row>
    <row r="45" spans="1:9" ht="15.75" thickBot="1" x14ac:dyDescent="0.3">
      <c r="A45" s="10">
        <f>B44*C44*D44</f>
        <v>11500</v>
      </c>
      <c r="B45" s="11"/>
      <c r="C45" s="20"/>
      <c r="D45" s="12"/>
    </row>
    <row r="46" spans="1:9" ht="15.75" thickBot="1" x14ac:dyDescent="0.3"/>
    <row r="47" spans="1:9" ht="15.75" thickBot="1" x14ac:dyDescent="0.3">
      <c r="A47" s="13" t="s">
        <v>41</v>
      </c>
    </row>
    <row r="48" spans="1:9" ht="15.75" thickBot="1" x14ac:dyDescent="0.3">
      <c r="A48" s="16" t="s">
        <v>37</v>
      </c>
      <c r="B48" s="4" t="s">
        <v>22</v>
      </c>
      <c r="C48" s="5" t="s">
        <v>23</v>
      </c>
    </row>
    <row r="49" spans="1:4" x14ac:dyDescent="0.25">
      <c r="A49" s="6"/>
      <c r="B49" s="2">
        <v>12</v>
      </c>
      <c r="C49" s="7">
        <v>40</v>
      </c>
    </row>
    <row r="50" spans="1:4" ht="15.75" thickBot="1" x14ac:dyDescent="0.3">
      <c r="A50" s="21">
        <f>PI()*POWER(B49,2)*C49</f>
        <v>18095.573684677209</v>
      </c>
      <c r="B50" s="11"/>
      <c r="C50" s="12"/>
    </row>
    <row r="51" spans="1:4" ht="15.75" thickBot="1" x14ac:dyDescent="0.3"/>
    <row r="52" spans="1:4" ht="15.75" thickBot="1" x14ac:dyDescent="0.3">
      <c r="A52" s="13" t="s">
        <v>42</v>
      </c>
    </row>
    <row r="53" spans="1:4" ht="15.75" thickBot="1" x14ac:dyDescent="0.3">
      <c r="A53" s="16" t="s">
        <v>37</v>
      </c>
      <c r="B53" s="4" t="s">
        <v>21</v>
      </c>
      <c r="C53" s="4" t="s">
        <v>24</v>
      </c>
      <c r="D53" s="15" t="s">
        <v>33</v>
      </c>
    </row>
    <row r="54" spans="1:4" x14ac:dyDescent="0.25">
      <c r="A54" s="6"/>
      <c r="B54" s="2">
        <v>50</v>
      </c>
      <c r="C54" s="2">
        <v>30</v>
      </c>
      <c r="D54" s="7" t="s">
        <v>40</v>
      </c>
    </row>
    <row r="55" spans="1:4" ht="15.75" thickBot="1" x14ac:dyDescent="0.3">
      <c r="A55" s="10">
        <f>A45*(C54/B54)</f>
        <v>6900</v>
      </c>
      <c r="B55" s="11"/>
      <c r="C55" s="11"/>
      <c r="D55" s="12"/>
    </row>
    <row r="56" spans="1:4" ht="15.75" thickBot="1" x14ac:dyDescent="0.3"/>
    <row r="57" spans="1:4" ht="15.75" thickBot="1" x14ac:dyDescent="0.3">
      <c r="A57" s="13" t="s">
        <v>42</v>
      </c>
    </row>
    <row r="58" spans="1:4" ht="15.75" thickBot="1" x14ac:dyDescent="0.3">
      <c r="A58" s="16" t="s">
        <v>37</v>
      </c>
      <c r="B58" s="4" t="s">
        <v>23</v>
      </c>
      <c r="C58" s="4" t="s">
        <v>25</v>
      </c>
      <c r="D58" s="15" t="s">
        <v>33</v>
      </c>
    </row>
    <row r="59" spans="1:4" x14ac:dyDescent="0.25">
      <c r="A59" s="6"/>
      <c r="B59" s="2">
        <v>40</v>
      </c>
      <c r="C59" s="2">
        <v>25</v>
      </c>
      <c r="D59" s="7" t="s">
        <v>41</v>
      </c>
    </row>
    <row r="60" spans="1:4" ht="15.75" thickBot="1" x14ac:dyDescent="0.3">
      <c r="A60" s="21">
        <f>A50*(C59/B59)</f>
        <v>11309.733552923255</v>
      </c>
      <c r="B60" s="11"/>
      <c r="C60" s="11"/>
      <c r="D60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Ortiz Sarasti</dc:creator>
  <cp:lastModifiedBy>Samuel Ortiz Sarasti</cp:lastModifiedBy>
  <dcterms:created xsi:type="dcterms:W3CDTF">2026-03-07T22:26:58Z</dcterms:created>
  <dcterms:modified xsi:type="dcterms:W3CDTF">2026-03-08T01:19:27Z</dcterms:modified>
</cp:coreProperties>
</file>