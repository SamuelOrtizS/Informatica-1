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ivalle\2026-1\Informatica-1\Laboratorio 2\"/>
    </mc:Choice>
  </mc:AlternateContent>
  <xr:revisionPtr revIDLastSave="0" documentId="8_{7361308F-75A8-44D1-960F-805B7786EBB4}" xr6:coauthVersionLast="47" xr6:coauthVersionMax="47" xr10:uidLastSave="{00000000-0000-0000-0000-000000000000}"/>
  <bookViews>
    <workbookView xWindow="-120" yWindow="-120" windowWidth="29040" windowHeight="16440" xr2:uid="{2B75A477-A9CF-47B7-B745-DD82E91866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4" i="1"/>
  <c r="A23" i="1"/>
  <c r="A22" i="1"/>
  <c r="A8" i="1"/>
</calcChain>
</file>

<file path=xl/sharedStrings.xml><?xml version="1.0" encoding="utf-8"?>
<sst xmlns="http://schemas.openxmlformats.org/spreadsheetml/2006/main" count="34" uniqueCount="33">
  <si>
    <t>NivelesColesterol</t>
  </si>
  <si>
    <t xml:space="preserve">Mensaje por pantalla </t>
  </si>
  <si>
    <t>nombre</t>
  </si>
  <si>
    <t>genero</t>
  </si>
  <si>
    <t>colTotal</t>
  </si>
  <si>
    <t>colHDL</t>
  </si>
  <si>
    <t>tri</t>
  </si>
  <si>
    <t>Ingrese su nombre:</t>
  </si>
  <si>
    <t xml:space="preserve">Indique si es hombre o mujer: </t>
  </si>
  <si>
    <t xml:space="preserve">Ingrese el valor numérico del colesterol total: </t>
  </si>
  <si>
    <t xml:space="preserve">Ingrese el valor numérico del colesterol HDL: </t>
  </si>
  <si>
    <t xml:space="preserve">Ingrese el valor numérico de los triglicéridos: </t>
  </si>
  <si>
    <t>Anita López</t>
  </si>
  <si>
    <t>mujer</t>
  </si>
  <si>
    <t>42.50</t>
  </si>
  <si>
    <t>Colesterol total: Intermedio Alto</t>
  </si>
  <si>
    <t>HDL: Normal</t>
  </si>
  <si>
    <t>Triglicéridos: Normal</t>
  </si>
  <si>
    <t>ProduccionLeche</t>
  </si>
  <si>
    <t>anchoPrisma</t>
  </si>
  <si>
    <t>largoPrisma</t>
  </si>
  <si>
    <t>alturaPrisma</t>
  </si>
  <si>
    <t>radioCilindro</t>
  </si>
  <si>
    <t>alturaCilindro</t>
  </si>
  <si>
    <t>alturaLlenadoPrisma</t>
  </si>
  <si>
    <t>alturaLlenadoCilindro</t>
  </si>
  <si>
    <t xml:space="preserve">Ingrese en cm, el ancho de la base del recipiente en forma de prisma (l): </t>
  </si>
  <si>
    <t xml:space="preserve">Ingrese en cm, el largo de la base del recipiente en forma de prisma (b): </t>
  </si>
  <si>
    <t xml:space="preserve">Ingrese la altura en cm, del prisma (h): </t>
  </si>
  <si>
    <t xml:space="preserve">Ingrese en cm el radio del recipiente en forma de cilindro: </t>
  </si>
  <si>
    <t xml:space="preserve">Ingrese en cm la altura del recipiente en forma de cilindro: </t>
  </si>
  <si>
    <t xml:space="preserve">Ingrese hasta que altura se lleno el recipiente en forma de prisma: </t>
  </si>
  <si>
    <t xml:space="preserve">Ingrese hasta que altura se lleno el recipiente en forma de cilindro: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</si>
</sst>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0FB75-1E15-460F-A013-7A93DF31DE48}">
  <dimension ref="A1:H30"/>
  <sheetViews>
    <sheetView tabSelected="1" workbookViewId="0">
      <selection activeCell="C30" sqref="C30"/>
    </sheetView>
  </sheetViews>
  <sheetFormatPr baseColWidth="10" defaultRowHeight="15" x14ac:dyDescent="0.25"/>
  <cols>
    <col min="1" max="1" width="90.7109375" bestFit="1" customWidth="1"/>
    <col min="2" max="2" width="12.85546875" bestFit="1" customWidth="1"/>
    <col min="3" max="3" width="11.85546875" bestFit="1" customWidth="1"/>
    <col min="4" max="4" width="12.5703125" bestFit="1" customWidth="1"/>
    <col min="5" max="5" width="12.7109375" bestFit="1" customWidth="1"/>
    <col min="6" max="6" width="13.28515625" bestFit="1" customWidth="1"/>
    <col min="7" max="7" width="19.7109375" bestFit="1" customWidth="1"/>
    <col min="8" max="8" width="20.42578125" bestFit="1" customWidth="1"/>
  </cols>
  <sheetData>
    <row r="1" spans="1:8" ht="15.75" thickBot="1" x14ac:dyDescent="0.3">
      <c r="A1" s="13" t="s">
        <v>0</v>
      </c>
    </row>
    <row r="2" spans="1:8" ht="15.75" thickBot="1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</row>
    <row r="3" spans="1:8" x14ac:dyDescent="0.25">
      <c r="A3" s="6" t="s">
        <v>7</v>
      </c>
      <c r="B3" s="2" t="s">
        <v>12</v>
      </c>
      <c r="C3" s="2"/>
      <c r="D3" s="2"/>
      <c r="E3" s="2"/>
      <c r="F3" s="7"/>
    </row>
    <row r="4" spans="1:8" x14ac:dyDescent="0.25">
      <c r="A4" s="8" t="s">
        <v>8</v>
      </c>
      <c r="B4" s="1"/>
      <c r="C4" s="1" t="s">
        <v>13</v>
      </c>
      <c r="D4" s="1"/>
      <c r="E4" s="1"/>
      <c r="F4" s="9"/>
    </row>
    <row r="5" spans="1:8" x14ac:dyDescent="0.25">
      <c r="A5" s="8" t="s">
        <v>9</v>
      </c>
      <c r="B5" s="1"/>
      <c r="C5" s="1"/>
      <c r="D5" s="1">
        <v>228</v>
      </c>
      <c r="E5" s="1"/>
      <c r="F5" s="9"/>
    </row>
    <row r="6" spans="1:8" x14ac:dyDescent="0.25">
      <c r="A6" s="8" t="s">
        <v>10</v>
      </c>
      <c r="B6" s="1"/>
      <c r="C6" s="1"/>
      <c r="D6" s="1"/>
      <c r="E6" s="1" t="s">
        <v>14</v>
      </c>
      <c r="F6" s="9"/>
    </row>
    <row r="7" spans="1:8" x14ac:dyDescent="0.25">
      <c r="A7" s="8" t="s">
        <v>11</v>
      </c>
      <c r="B7" s="1"/>
      <c r="C7" s="1"/>
      <c r="D7" s="1"/>
      <c r="E7" s="1"/>
      <c r="F7" s="9">
        <v>133</v>
      </c>
    </row>
    <row r="8" spans="1:8" x14ac:dyDescent="0.25">
      <c r="A8" s="8" t="str">
        <f>_xlfn.CONCAT(B3," sus niveles de colesterol son: ")</f>
        <v xml:space="preserve">Anita López sus niveles de colesterol son: </v>
      </c>
      <c r="B8" s="1"/>
      <c r="C8" s="1"/>
      <c r="D8" s="1"/>
      <c r="E8" s="1"/>
      <c r="F8" s="9"/>
    </row>
    <row r="9" spans="1:8" x14ac:dyDescent="0.25">
      <c r="A9" s="8" t="s">
        <v>15</v>
      </c>
      <c r="B9" s="1"/>
      <c r="C9" s="1"/>
      <c r="D9" s="1"/>
      <c r="E9" s="1"/>
      <c r="F9" s="9"/>
    </row>
    <row r="10" spans="1:8" x14ac:dyDescent="0.25">
      <c r="A10" s="8" t="s">
        <v>16</v>
      </c>
      <c r="B10" s="1"/>
      <c r="C10" s="1"/>
      <c r="D10" s="1"/>
      <c r="E10" s="1"/>
      <c r="F10" s="9"/>
    </row>
    <row r="11" spans="1:8" ht="15.75" thickBot="1" x14ac:dyDescent="0.3">
      <c r="A11" s="10" t="s">
        <v>17</v>
      </c>
      <c r="B11" s="11"/>
      <c r="C11" s="11"/>
      <c r="D11" s="11"/>
      <c r="E11" s="11"/>
      <c r="F11" s="12"/>
    </row>
    <row r="12" spans="1:8" ht="15.75" thickBot="1" x14ac:dyDescent="0.3"/>
    <row r="13" spans="1:8" ht="15.75" thickBot="1" x14ac:dyDescent="0.3">
      <c r="A13" s="14" t="s">
        <v>18</v>
      </c>
    </row>
    <row r="14" spans="1:8" ht="15.75" thickBot="1" x14ac:dyDescent="0.3">
      <c r="A14" s="3" t="s">
        <v>1</v>
      </c>
      <c r="B14" s="4" t="s">
        <v>19</v>
      </c>
      <c r="C14" s="4" t="s">
        <v>20</v>
      </c>
      <c r="D14" s="4" t="s">
        <v>21</v>
      </c>
      <c r="E14" s="4" t="s">
        <v>22</v>
      </c>
      <c r="F14" s="4" t="s">
        <v>23</v>
      </c>
      <c r="G14" s="4" t="s">
        <v>24</v>
      </c>
      <c r="H14" s="5" t="s">
        <v>25</v>
      </c>
    </row>
    <row r="15" spans="1:8" x14ac:dyDescent="0.25">
      <c r="A15" s="6" t="s">
        <v>26</v>
      </c>
      <c r="B15" s="2">
        <v>10</v>
      </c>
      <c r="C15" s="2"/>
      <c r="D15" s="2"/>
      <c r="E15" s="2"/>
      <c r="F15" s="2"/>
      <c r="G15" s="2"/>
      <c r="H15" s="7"/>
    </row>
    <row r="16" spans="1:8" x14ac:dyDescent="0.25">
      <c r="A16" s="8" t="s">
        <v>27</v>
      </c>
      <c r="B16" s="1"/>
      <c r="C16" s="1">
        <v>23</v>
      </c>
      <c r="D16" s="1"/>
      <c r="E16" s="1"/>
      <c r="F16" s="1"/>
      <c r="G16" s="1"/>
      <c r="H16" s="9"/>
    </row>
    <row r="17" spans="1:8" x14ac:dyDescent="0.25">
      <c r="A17" s="8" t="s">
        <v>28</v>
      </c>
      <c r="B17" s="1"/>
      <c r="C17" s="1"/>
      <c r="D17" s="1">
        <v>50</v>
      </c>
      <c r="E17" s="1"/>
      <c r="F17" s="1"/>
      <c r="G17" s="1"/>
      <c r="H17" s="9"/>
    </row>
    <row r="18" spans="1:8" x14ac:dyDescent="0.25">
      <c r="A18" s="8" t="s">
        <v>29</v>
      </c>
      <c r="B18" s="1"/>
      <c r="C18" s="1"/>
      <c r="D18" s="1"/>
      <c r="E18" s="1">
        <v>12</v>
      </c>
      <c r="F18" s="1"/>
      <c r="G18" s="1"/>
      <c r="H18" s="9"/>
    </row>
    <row r="19" spans="1:8" x14ac:dyDescent="0.25">
      <c r="A19" s="8" t="s">
        <v>30</v>
      </c>
      <c r="B19" s="1"/>
      <c r="C19" s="1"/>
      <c r="D19" s="1"/>
      <c r="E19" s="1"/>
      <c r="F19" s="1">
        <v>40</v>
      </c>
      <c r="G19" s="1"/>
      <c r="H19" s="9"/>
    </row>
    <row r="20" spans="1:8" x14ac:dyDescent="0.25">
      <c r="A20" s="8" t="s">
        <v>31</v>
      </c>
      <c r="B20" s="1"/>
      <c r="C20" s="1"/>
      <c r="D20" s="1"/>
      <c r="E20" s="1"/>
      <c r="F20" s="1"/>
      <c r="G20" s="1">
        <v>30</v>
      </c>
      <c r="H20" s="9"/>
    </row>
    <row r="21" spans="1:8" x14ac:dyDescent="0.25">
      <c r="A21" s="8" t="s">
        <v>32</v>
      </c>
      <c r="B21" s="1"/>
      <c r="C21" s="1"/>
      <c r="D21" s="1"/>
      <c r="E21" s="1"/>
      <c r="F21" s="1"/>
      <c r="G21" s="1"/>
      <c r="H21" s="9">
        <v>25</v>
      </c>
    </row>
    <row r="22" spans="1:8" x14ac:dyDescent="0.25">
      <c r="A22" s="8" t="str">
        <f>_xlfn.CONCAT("El volumen del recipiente en forma de prisma es: ",B15*C16*D17," cm cúbicos")</f>
        <v>El volumen del recipiente en forma de prisma es: 11500 cm cúbicos</v>
      </c>
      <c r="B22" s="1"/>
      <c r="C22" s="1"/>
      <c r="D22" s="1"/>
      <c r="E22" s="1"/>
      <c r="F22" s="1"/>
      <c r="G22" s="1"/>
      <c r="H22" s="9"/>
    </row>
    <row r="23" spans="1:8" x14ac:dyDescent="0.25">
      <c r="A23" s="8" t="str">
        <f>_xlfn.CONCAT("El volumen del recipiente en forma de cilindro es: ",PI()*POWER(E18,2)*F19," cm cúbicos")</f>
        <v>El volumen del recipiente en forma de cilindro es: 18095,5736846772 cm cúbicos</v>
      </c>
      <c r="B23" s="1"/>
      <c r="C23" s="1"/>
      <c r="D23" s="1"/>
      <c r="E23" s="1"/>
      <c r="F23" s="1"/>
      <c r="G23" s="1"/>
      <c r="H23" s="9"/>
    </row>
    <row r="24" spans="1:8" x14ac:dyDescent="0.25">
      <c r="A24" s="8" t="str">
        <f>_xlfn.CONCAT("La cantidad de leche recogida en el recipiente en forma de prisma es: ",(B15*C16*D17)*(G20/D17)," cm cúbicos")</f>
        <v>La cantidad de leche recogida en el recipiente en forma de prisma es: 6900 cm cúbicos</v>
      </c>
      <c r="B24" s="1"/>
      <c r="C24" s="1"/>
      <c r="D24" s="1"/>
      <c r="E24" s="1"/>
      <c r="F24" s="1"/>
      <c r="G24" s="1"/>
      <c r="H24" s="9"/>
    </row>
    <row r="25" spans="1:8" ht="15.75" thickBot="1" x14ac:dyDescent="0.3">
      <c r="A25" s="10" t="str">
        <f>_xlfn.CONCAT("La cantidad de leche recogida en el recipiente en forma de cilindro es: ",(PI()*POWER(E18,2)*F19)*(H21/F19)," cm cúbicos")</f>
        <v>La cantidad de leche recogida en el recipiente en forma de cilindro es: 11309,7335529233 cm cúbicos</v>
      </c>
      <c r="B25" s="11"/>
      <c r="C25" s="11"/>
      <c r="D25" s="11"/>
      <c r="E25" s="11"/>
      <c r="F25" s="11"/>
      <c r="G25" s="11"/>
      <c r="H25" s="12"/>
    </row>
    <row r="30" spans="1:8" x14ac:dyDescent="0.25">
      <c r="C3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Ortiz Sarasti</dc:creator>
  <cp:lastModifiedBy>Samuel Ortiz Sarasti</cp:lastModifiedBy>
  <dcterms:created xsi:type="dcterms:W3CDTF">2026-03-07T22:26:58Z</dcterms:created>
  <dcterms:modified xsi:type="dcterms:W3CDTF">2026-03-07T22:41:20Z</dcterms:modified>
</cp:coreProperties>
</file>